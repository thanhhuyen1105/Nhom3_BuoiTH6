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Huyen\Downloads\"/>
    </mc:Choice>
  </mc:AlternateContent>
  <xr:revisionPtr revIDLastSave="0" documentId="8_{CA506E9C-265B-4867-A947-1DCBC2AD69B0}" xr6:coauthVersionLast="47" xr6:coauthVersionMax="47" xr10:uidLastSave="{00000000-0000-0000-0000-000000000000}"/>
  <bookViews>
    <workbookView xWindow="-96" yWindow="0" windowWidth="11712" windowHeight="12336" xr2:uid="{A466A881-85F9-4517-B725-8187DF32675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Sheet1!$A$1:$F$15</definedName>
    <definedName name="_xlnm._FilterDatabase" localSheetId="1" hidden="1">Sheet2!$A$1:$E$1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2" i="1"/>
  <c r="E2" i="1"/>
  <c r="B16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D2" i="2"/>
  <c r="D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2" i="2"/>
  <c r="D4" i="2"/>
  <c r="D5" i="2"/>
  <c r="D6" i="2"/>
  <c r="D7" i="2"/>
  <c r="D8" i="2"/>
  <c r="D9" i="2"/>
  <c r="D10" i="2"/>
  <c r="D11" i="2"/>
  <c r="D12" i="2"/>
  <c r="D13" i="2"/>
  <c r="D14" i="2"/>
  <c r="D15" i="2"/>
</calcChain>
</file>

<file path=xl/sharedStrings.xml><?xml version="1.0" encoding="utf-8"?>
<sst xmlns="http://schemas.openxmlformats.org/spreadsheetml/2006/main" count="114" uniqueCount="66">
  <si>
    <t>MSSV</t>
  </si>
  <si>
    <t>Hoten</t>
  </si>
  <si>
    <t>Lop</t>
  </si>
  <si>
    <t>Lê Huỳnh</t>
  </si>
  <si>
    <t>Như</t>
  </si>
  <si>
    <t>DI11Y9A2</t>
  </si>
  <si>
    <t>Sơn</t>
  </si>
  <si>
    <t>Sony</t>
  </si>
  <si>
    <t>DI11Y9A1</t>
  </si>
  <si>
    <t>A1200014</t>
  </si>
  <si>
    <t>Võ Đông</t>
  </si>
  <si>
    <t>Triều</t>
  </si>
  <si>
    <t>CP1296C1</t>
  </si>
  <si>
    <t>A1200028</t>
  </si>
  <si>
    <t>Lê Phong</t>
  </si>
  <si>
    <t>Cảnh</t>
  </si>
  <si>
    <t>A1200137</t>
  </si>
  <si>
    <t>Trần Tấn</t>
  </si>
  <si>
    <t>Quốc</t>
  </si>
  <si>
    <t>B1204052</t>
  </si>
  <si>
    <t>Nguyễn Thanh</t>
  </si>
  <si>
    <t>Phong</t>
  </si>
  <si>
    <t>DI1296A2</t>
  </si>
  <si>
    <t>B1204121</t>
  </si>
  <si>
    <t>Thiện</t>
  </si>
  <si>
    <t>DI1295A1</t>
  </si>
  <si>
    <t>B1208601</t>
  </si>
  <si>
    <t>Hồ Thị Huế</t>
  </si>
  <si>
    <t>Chi</t>
  </si>
  <si>
    <t>DI12Z6A2</t>
  </si>
  <si>
    <t>B1209103</t>
  </si>
  <si>
    <t>Nguyễn Hoài</t>
  </si>
  <si>
    <t>Nam</t>
  </si>
  <si>
    <t>TC12Z5A1</t>
  </si>
  <si>
    <t>B1209107</t>
  </si>
  <si>
    <t>Cao Tuấn</t>
  </si>
  <si>
    <t>Nguyên</t>
  </si>
  <si>
    <t>B1209144</t>
  </si>
  <si>
    <t>Huỳnh Nhựt</t>
  </si>
  <si>
    <t>Thương</t>
  </si>
  <si>
    <t>TC12Z5A2</t>
  </si>
  <si>
    <t>B1302016</t>
  </si>
  <si>
    <t>Nguyễn Phước</t>
  </si>
  <si>
    <t>Toàn</t>
  </si>
  <si>
    <t>XH13W9A1</t>
  </si>
  <si>
    <t>B1304488</t>
  </si>
  <si>
    <t>Hồng Duy</t>
  </si>
  <si>
    <t>Hiệu</t>
  </si>
  <si>
    <t>DI13Z6A1</t>
  </si>
  <si>
    <t>B1304494</t>
  </si>
  <si>
    <t>Kim</t>
  </si>
  <si>
    <t>Mel</t>
  </si>
  <si>
    <t>MaMH</t>
  </si>
  <si>
    <t>Diem</t>
  </si>
  <si>
    <t>CT447</t>
  </si>
  <si>
    <t>A</t>
  </si>
  <si>
    <t>CT107</t>
  </si>
  <si>
    <t>CT178</t>
  </si>
  <si>
    <t>C</t>
  </si>
  <si>
    <t>D</t>
  </si>
  <si>
    <t>B</t>
  </si>
  <si>
    <t>TenMH</t>
  </si>
  <si>
    <t>TinChi</t>
  </si>
  <si>
    <t>Quan Tri He Thong</t>
  </si>
  <si>
    <t>He Dieu Hanh</t>
  </si>
  <si>
    <t>Nen tang CNTT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</si>
</sst>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2"/>
      <color theme="1"/>
      <name val="Times New Roman"/>
      <family val="1"/>
      <charset val="163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3" fillId="0" borderId="0" xfId="0" applyFont="1"/>
    <xf numFmtId="0" fontId="3" fillId="0" borderId="1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justify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8" xfId="0" applyFont="1" applyBorder="1"/>
    <xf numFmtId="0" fontId="2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929FB-104C-4050-98FF-5F0F6E2C3A39}">
  <dimension ref="A1:F16"/>
  <sheetViews>
    <sheetView tabSelected="1" zoomScale="67" workbookViewId="0">
      <selection activeCell="D21" sqref="D21"/>
    </sheetView>
  </sheetViews>
  <sheetFormatPr defaultRowHeight="14.4" x14ac:dyDescent="0.3"/>
  <cols>
    <col min="1" max="1" width="12.5546875" customWidth="1"/>
    <col min="2" max="2" width="19.33203125" customWidth="1"/>
    <col min="3" max="3" width="13.109375" customWidth="1"/>
    <col min="4" max="4" width="15.109375" customWidth="1"/>
  </cols>
  <sheetData>
    <row r="1" spans="1:6" ht="16.2" thickBot="1" x14ac:dyDescent="0.35">
      <c r="A1" s="1" t="s">
        <v>0</v>
      </c>
      <c r="B1" s="2" t="s">
        <v>1</v>
      </c>
      <c r="C1" s="3"/>
      <c r="D1" s="21" t="s">
        <v>2</v>
      </c>
      <c r="E1" s="19" t="s">
        <v>52</v>
      </c>
      <c r="F1" s="22" t="s">
        <v>53</v>
      </c>
    </row>
    <row r="2" spans="1:6" ht="16.2" thickBot="1" x14ac:dyDescent="0.35">
      <c r="A2" s="9">
        <v>1111434</v>
      </c>
      <c r="B2" s="5" t="s">
        <v>3</v>
      </c>
      <c r="C2" s="6" t="s">
        <v>4</v>
      </c>
      <c r="D2" s="5" t="s">
        <v>5</v>
      </c>
      <c r="E2" s="22" t="str">
        <f>VLOOKUP(A2,Sheet2!$A$2:$B$15, 2, FALSE)</f>
        <v>CT447</v>
      </c>
      <c r="F2" s="22" t="str">
        <f>VLOOKUP(A2, Sheet2!$A$2:$C$100, 3, FALSE)</f>
        <v>A</v>
      </c>
    </row>
    <row r="3" spans="1:6" ht="16.2" thickBot="1" x14ac:dyDescent="0.35">
      <c r="A3" s="9">
        <v>1111450</v>
      </c>
      <c r="B3" s="5" t="s">
        <v>6</v>
      </c>
      <c r="C3" s="6" t="s">
        <v>7</v>
      </c>
      <c r="D3" s="5" t="s">
        <v>8</v>
      </c>
      <c r="E3" s="22" t="str">
        <f>VLOOKUP(A3,Sheet2!$A$2:$B$15, 2, FALSE)</f>
        <v>CT107</v>
      </c>
      <c r="F3" s="22" t="str">
        <f>VLOOKUP(A3, Sheet2!$A$2:$C$100, 3, FALSE)</f>
        <v>A</v>
      </c>
    </row>
    <row r="4" spans="1:6" ht="16.2" thickBot="1" x14ac:dyDescent="0.35">
      <c r="A4" s="4" t="s">
        <v>9</v>
      </c>
      <c r="B4" s="5" t="s">
        <v>10</v>
      </c>
      <c r="C4" s="6" t="s">
        <v>11</v>
      </c>
      <c r="D4" s="5" t="s">
        <v>12</v>
      </c>
      <c r="E4" s="22" t="str">
        <f>VLOOKUP(A4,Sheet2!$A$2:$B$15, 2, FALSE)</f>
        <v>CT178</v>
      </c>
      <c r="F4" s="22" t="str">
        <f>VLOOKUP(A4, Sheet2!$A$2:$C$100, 3, FALSE)</f>
        <v>C</v>
      </c>
    </row>
    <row r="5" spans="1:6" ht="16.2" thickBot="1" x14ac:dyDescent="0.35">
      <c r="A5" s="4" t="s">
        <v>13</v>
      </c>
      <c r="B5" s="5" t="s">
        <v>14</v>
      </c>
      <c r="C5" s="6" t="s">
        <v>15</v>
      </c>
      <c r="D5" s="5" t="s">
        <v>12</v>
      </c>
      <c r="E5" s="22" t="str">
        <f>VLOOKUP(A5,Sheet2!$A$2:$B$15, 2, FALSE)</f>
        <v>CT447</v>
      </c>
      <c r="F5" s="22" t="str">
        <f>VLOOKUP(A5, Sheet2!$A$2:$C$100, 3, FALSE)</f>
        <v>D</v>
      </c>
    </row>
    <row r="6" spans="1:6" ht="16.2" thickBot="1" x14ac:dyDescent="0.35">
      <c r="A6" s="4" t="s">
        <v>16</v>
      </c>
      <c r="B6" s="5" t="s">
        <v>17</v>
      </c>
      <c r="C6" s="6" t="s">
        <v>18</v>
      </c>
      <c r="D6" s="5" t="s">
        <v>12</v>
      </c>
      <c r="E6" s="22" t="str">
        <f>VLOOKUP(A6,Sheet2!$A$2:$B$15, 2, FALSE)</f>
        <v>CT107</v>
      </c>
      <c r="F6" s="22" t="str">
        <f>VLOOKUP(A6, Sheet2!$A$2:$C$100, 3, FALSE)</f>
        <v>B</v>
      </c>
    </row>
    <row r="7" spans="1:6" ht="16.2" thickBot="1" x14ac:dyDescent="0.35">
      <c r="A7" s="4" t="s">
        <v>19</v>
      </c>
      <c r="B7" s="5" t="s">
        <v>20</v>
      </c>
      <c r="C7" s="6" t="s">
        <v>21</v>
      </c>
      <c r="D7" s="5" t="s">
        <v>22</v>
      </c>
      <c r="E7" s="22" t="str">
        <f>VLOOKUP(A7,Sheet2!$A$2:$B$15, 2, FALSE)</f>
        <v>CT178</v>
      </c>
      <c r="F7" s="22" t="str">
        <f>VLOOKUP(A7, Sheet2!$A$2:$C$100, 3, FALSE)</f>
        <v>A</v>
      </c>
    </row>
    <row r="8" spans="1:6" ht="16.2" thickBot="1" x14ac:dyDescent="0.35">
      <c r="A8" s="4" t="s">
        <v>23</v>
      </c>
      <c r="B8" s="5" t="s">
        <v>20</v>
      </c>
      <c r="C8" s="6" t="s">
        <v>24</v>
      </c>
      <c r="D8" s="5" t="s">
        <v>25</v>
      </c>
      <c r="E8" s="22" t="str">
        <f>VLOOKUP(A8,Sheet2!$A$2:$B$15, 2, FALSE)</f>
        <v>CT447</v>
      </c>
      <c r="F8" s="22" t="str">
        <f>VLOOKUP(A8, Sheet2!$A$2:$C$100, 3, FALSE)</f>
        <v>A</v>
      </c>
    </row>
    <row r="9" spans="1:6" ht="16.2" thickBot="1" x14ac:dyDescent="0.35">
      <c r="A9" s="4" t="s">
        <v>26</v>
      </c>
      <c r="B9" s="5" t="s">
        <v>27</v>
      </c>
      <c r="C9" s="6" t="s">
        <v>28</v>
      </c>
      <c r="D9" s="5" t="s">
        <v>29</v>
      </c>
      <c r="E9" s="22" t="str">
        <f>VLOOKUP(A9,Sheet2!$A$2:$B$15, 2, FALSE)</f>
        <v>CT107</v>
      </c>
      <c r="F9" s="22" t="str">
        <f>VLOOKUP(A9, Sheet2!$A$2:$C$100, 3, FALSE)</f>
        <v>C</v>
      </c>
    </row>
    <row r="10" spans="1:6" ht="16.2" thickBot="1" x14ac:dyDescent="0.35">
      <c r="A10" s="4" t="s">
        <v>30</v>
      </c>
      <c r="B10" s="5" t="s">
        <v>31</v>
      </c>
      <c r="C10" s="6" t="s">
        <v>32</v>
      </c>
      <c r="D10" s="5" t="s">
        <v>33</v>
      </c>
      <c r="E10" s="22" t="str">
        <f>VLOOKUP(A10,Sheet2!$A$2:$B$15, 2, FALSE)</f>
        <v>CT178</v>
      </c>
      <c r="F10" s="22" t="str">
        <f>VLOOKUP(A10, Sheet2!$A$2:$C$100, 3, FALSE)</f>
        <v>D</v>
      </c>
    </row>
    <row r="11" spans="1:6" ht="16.2" thickBot="1" x14ac:dyDescent="0.35">
      <c r="A11" s="4" t="s">
        <v>34</v>
      </c>
      <c r="B11" s="5" t="s">
        <v>35</v>
      </c>
      <c r="C11" s="6" t="s">
        <v>36</v>
      </c>
      <c r="D11" s="5" t="s">
        <v>33</v>
      </c>
      <c r="E11" s="22" t="str">
        <f>VLOOKUP(A11,Sheet2!$A$2:$B$15, 2, FALSE)</f>
        <v>CT447</v>
      </c>
      <c r="F11" s="22" t="str">
        <f>VLOOKUP(A11, Sheet2!$A$2:$C$100, 3, FALSE)</f>
        <v>B</v>
      </c>
    </row>
    <row r="12" spans="1:6" ht="16.2" thickBot="1" x14ac:dyDescent="0.35">
      <c r="A12" s="4" t="s">
        <v>37</v>
      </c>
      <c r="B12" s="5" t="s">
        <v>38</v>
      </c>
      <c r="C12" s="6" t="s">
        <v>39</v>
      </c>
      <c r="D12" s="5" t="s">
        <v>40</v>
      </c>
      <c r="E12" s="22" t="str">
        <f>VLOOKUP(A12,Sheet2!$A$2:$B$15, 2, FALSE)</f>
        <v>CT107</v>
      </c>
      <c r="F12" s="22" t="str">
        <f>VLOOKUP(A12, Sheet2!$A$2:$C$100, 3, FALSE)</f>
        <v>A</v>
      </c>
    </row>
    <row r="13" spans="1:6" ht="16.2" thickBot="1" x14ac:dyDescent="0.35">
      <c r="A13" s="4" t="s">
        <v>41</v>
      </c>
      <c r="B13" s="5" t="s">
        <v>42</v>
      </c>
      <c r="C13" s="6" t="s">
        <v>43</v>
      </c>
      <c r="D13" s="5" t="s">
        <v>44</v>
      </c>
      <c r="E13" s="22" t="str">
        <f>VLOOKUP(A13,Sheet2!$A$2:$B$15, 2, FALSE)</f>
        <v>CT178</v>
      </c>
      <c r="F13" s="22" t="str">
        <f>VLOOKUP(A13, Sheet2!$A$2:$C$100, 3, FALSE)</f>
        <v>A</v>
      </c>
    </row>
    <row r="14" spans="1:6" ht="16.2" thickBot="1" x14ac:dyDescent="0.35">
      <c r="A14" s="4" t="s">
        <v>45</v>
      </c>
      <c r="B14" s="5" t="s">
        <v>46</v>
      </c>
      <c r="C14" s="6" t="s">
        <v>47</v>
      </c>
      <c r="D14" s="5" t="s">
        <v>48</v>
      </c>
      <c r="E14" s="22" t="str">
        <f>VLOOKUP(A14,Sheet2!$A$2:$B$15, 2, FALSE)</f>
        <v>CT447</v>
      </c>
      <c r="F14" s="22" t="str">
        <f>VLOOKUP(A14, Sheet2!$A$2:$C$100, 3, FALSE)</f>
        <v>C</v>
      </c>
    </row>
    <row r="15" spans="1:6" ht="16.2" thickBot="1" x14ac:dyDescent="0.35">
      <c r="A15" s="4" t="s">
        <v>49</v>
      </c>
      <c r="B15" s="5" t="s">
        <v>50</v>
      </c>
      <c r="C15" s="6" t="s">
        <v>51</v>
      </c>
      <c r="D15" s="5" t="s">
        <v>48</v>
      </c>
      <c r="E15" s="22" t="str">
        <f>VLOOKUP(A15,Sheet2!$A$2:$B$15, 2, FALSE)</f>
        <v>CT107</v>
      </c>
      <c r="F15" s="22" t="str">
        <f>VLOOKUP(A15, Sheet2!$A$2:$C$100, 3, FALSE)</f>
        <v>D</v>
      </c>
    </row>
    <row r="16" spans="1:6" ht="15.6" x14ac:dyDescent="0.3">
      <c r="A16" s="7"/>
      <c r="B16" s="8"/>
      <c r="C16" s="8"/>
      <c r="D16" s="8"/>
    </row>
  </sheetData>
  <autoFilter ref="A1:F15" xr:uid="{441929FB-104C-4050-98FF-5F0F6E2C3A39}">
    <filterColumn colId="1" showButton="0"/>
  </autoFilter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BC61D-349A-4ABF-ADC4-AAE864D1F6A3}">
  <dimension ref="A1:E16"/>
  <sheetViews>
    <sheetView workbookViewId="0">
      <selection activeCell="E19" sqref="E19"/>
    </sheetView>
  </sheetViews>
  <sheetFormatPr defaultRowHeight="14.4" x14ac:dyDescent="0.3"/>
  <cols>
    <col min="1" max="1" width="13" customWidth="1"/>
    <col min="2" max="2" width="13.6640625" customWidth="1"/>
    <col min="3" max="3" width="13.5546875" customWidth="1"/>
    <col min="4" max="4" width="16.88671875" customWidth="1"/>
  </cols>
  <sheetData>
    <row r="1" spans="1:5" ht="15" thickBot="1" x14ac:dyDescent="0.35">
      <c r="A1" s="10" t="s">
        <v>0</v>
      </c>
      <c r="B1" s="11" t="s">
        <v>52</v>
      </c>
      <c r="C1" s="17" t="s">
        <v>53</v>
      </c>
      <c r="D1" s="19" t="s">
        <v>61</v>
      </c>
      <c r="E1" s="19" t="s">
        <v>62</v>
      </c>
    </row>
    <row r="2" spans="1:5" ht="15" thickBot="1" x14ac:dyDescent="0.35">
      <c r="A2" s="15">
        <v>1111434</v>
      </c>
      <c r="B2" s="12" t="s">
        <v>54</v>
      </c>
      <c r="C2" s="18" t="s">
        <v>55</v>
      </c>
      <c r="D2" s="20" t="str">
        <f>VLOOKUP(B2,Sheet3!$A$2:$C$4, 2, FALSE)</f>
        <v>Quan Tri He Thong</v>
      </c>
      <c r="E2" s="20">
        <f>VLOOKUP(B2,Sheet3!$A$2:$C$4, 3, FALSE)</f>
        <v>3</v>
      </c>
    </row>
    <row r="3" spans="1:5" ht="15" thickBot="1" x14ac:dyDescent="0.35">
      <c r="A3" s="15">
        <v>1111450</v>
      </c>
      <c r="B3" s="12" t="s">
        <v>56</v>
      </c>
      <c r="C3" s="18" t="s">
        <v>55</v>
      </c>
      <c r="D3" s="20" t="str">
        <f>VLOOKUP(B3,Sheet3!$A$2:$C$4, 2, FALSE)</f>
        <v>He Dieu Hanh</v>
      </c>
      <c r="E3" s="20">
        <f>VLOOKUP(B3,Sheet3!$A$2:$C$4, 3, FALSE)</f>
        <v>3</v>
      </c>
    </row>
    <row r="4" spans="1:5" ht="15" thickBot="1" x14ac:dyDescent="0.35">
      <c r="A4" s="14" t="s">
        <v>9</v>
      </c>
      <c r="B4" s="12" t="s">
        <v>57</v>
      </c>
      <c r="C4" s="18" t="s">
        <v>58</v>
      </c>
      <c r="D4" s="20" t="str">
        <f>VLOOKUP(B4, Sheet3!$A$2:$C$10, 2, FALSE)</f>
        <v>Nen tang CNTT</v>
      </c>
      <c r="E4" s="20">
        <f>VLOOKUP(B4,Sheet3!$A$2:$C$4, 3, FALSE)</f>
        <v>3</v>
      </c>
    </row>
    <row r="5" spans="1:5" ht="15" thickBot="1" x14ac:dyDescent="0.35">
      <c r="A5" s="14" t="s">
        <v>13</v>
      </c>
      <c r="B5" s="12" t="s">
        <v>54</v>
      </c>
      <c r="C5" s="18" t="s">
        <v>59</v>
      </c>
      <c r="D5" s="20" t="str">
        <f>VLOOKUP(B5, Sheet3!$A$2:$C$10, 2, FALSE)</f>
        <v>Quan Tri He Thong</v>
      </c>
      <c r="E5" s="20">
        <f>VLOOKUP(B5,Sheet3!$A$2:$C$4, 3, FALSE)</f>
        <v>3</v>
      </c>
    </row>
    <row r="6" spans="1:5" ht="15" thickBot="1" x14ac:dyDescent="0.35">
      <c r="A6" s="14" t="s">
        <v>16</v>
      </c>
      <c r="B6" s="12" t="s">
        <v>56</v>
      </c>
      <c r="C6" s="18" t="s">
        <v>60</v>
      </c>
      <c r="D6" s="20" t="str">
        <f>VLOOKUP(B6, Sheet3!$A$2:$C$10, 2, FALSE)</f>
        <v>He Dieu Hanh</v>
      </c>
      <c r="E6" s="20">
        <f>VLOOKUP(B6,Sheet3!$A$2:$C$4, 3, FALSE)</f>
        <v>3</v>
      </c>
    </row>
    <row r="7" spans="1:5" ht="15" thickBot="1" x14ac:dyDescent="0.35">
      <c r="A7" s="14" t="s">
        <v>19</v>
      </c>
      <c r="B7" s="12" t="s">
        <v>57</v>
      </c>
      <c r="C7" s="18" t="s">
        <v>55</v>
      </c>
      <c r="D7" s="20" t="str">
        <f>VLOOKUP(B7, Sheet3!$A$2:$C$10, 2, FALSE)</f>
        <v>Nen tang CNTT</v>
      </c>
      <c r="E7" s="20">
        <f>VLOOKUP(B7,Sheet3!$A$2:$C$4, 3, FALSE)</f>
        <v>3</v>
      </c>
    </row>
    <row r="8" spans="1:5" ht="15" thickBot="1" x14ac:dyDescent="0.35">
      <c r="A8" s="14" t="s">
        <v>23</v>
      </c>
      <c r="B8" s="12" t="s">
        <v>54</v>
      </c>
      <c r="C8" s="18" t="s">
        <v>55</v>
      </c>
      <c r="D8" s="20" t="str">
        <f>VLOOKUP(B8, Sheet3!$A$2:$C$10, 2, FALSE)</f>
        <v>Quan Tri He Thong</v>
      </c>
      <c r="E8" s="20">
        <f>VLOOKUP(B8,Sheet3!$A$2:$C$4, 3, FALSE)</f>
        <v>3</v>
      </c>
    </row>
    <row r="9" spans="1:5" ht="15" thickBot="1" x14ac:dyDescent="0.35">
      <c r="A9" s="14" t="s">
        <v>26</v>
      </c>
      <c r="B9" s="12" t="s">
        <v>56</v>
      </c>
      <c r="C9" s="18" t="s">
        <v>58</v>
      </c>
      <c r="D9" s="20" t="str">
        <f>VLOOKUP(B9, Sheet3!$A$2:$C$10, 2, FALSE)</f>
        <v>He Dieu Hanh</v>
      </c>
      <c r="E9" s="20">
        <f>VLOOKUP(B9,Sheet3!$A$2:$C$4, 3, FALSE)</f>
        <v>3</v>
      </c>
    </row>
    <row r="10" spans="1:5" ht="15" thickBot="1" x14ac:dyDescent="0.35">
      <c r="A10" s="14" t="s">
        <v>30</v>
      </c>
      <c r="B10" s="12" t="s">
        <v>57</v>
      </c>
      <c r="C10" s="18" t="s">
        <v>59</v>
      </c>
      <c r="D10" s="20" t="str">
        <f>VLOOKUP(B10, Sheet3!$A$2:$C$10, 2, FALSE)</f>
        <v>Nen tang CNTT</v>
      </c>
      <c r="E10" s="20">
        <f>VLOOKUP(B10,Sheet3!$A$2:$C$4, 3, FALSE)</f>
        <v>3</v>
      </c>
    </row>
    <row r="11" spans="1:5" ht="15" thickBot="1" x14ac:dyDescent="0.35">
      <c r="A11" s="14" t="s">
        <v>34</v>
      </c>
      <c r="B11" s="12" t="s">
        <v>54</v>
      </c>
      <c r="C11" s="18" t="s">
        <v>60</v>
      </c>
      <c r="D11" s="20" t="str">
        <f>VLOOKUP(B11, Sheet3!$A$2:$C$10, 2, FALSE)</f>
        <v>Quan Tri He Thong</v>
      </c>
      <c r="E11" s="20">
        <f>VLOOKUP(B11,Sheet3!$A$2:$C$4, 3, FALSE)</f>
        <v>3</v>
      </c>
    </row>
    <row r="12" spans="1:5" ht="15" thickBot="1" x14ac:dyDescent="0.35">
      <c r="A12" s="14" t="s">
        <v>37</v>
      </c>
      <c r="B12" s="12" t="s">
        <v>56</v>
      </c>
      <c r="C12" s="18" t="s">
        <v>55</v>
      </c>
      <c r="D12" s="20" t="str">
        <f>VLOOKUP(B12, Sheet3!$A$2:$C$10, 2, FALSE)</f>
        <v>He Dieu Hanh</v>
      </c>
      <c r="E12" s="20">
        <f>VLOOKUP(B12,Sheet3!$A$2:$C$4, 3, FALSE)</f>
        <v>3</v>
      </c>
    </row>
    <row r="13" spans="1:5" ht="15" thickBot="1" x14ac:dyDescent="0.35">
      <c r="A13" s="14" t="s">
        <v>41</v>
      </c>
      <c r="B13" s="12" t="s">
        <v>57</v>
      </c>
      <c r="C13" s="18" t="s">
        <v>55</v>
      </c>
      <c r="D13" s="20" t="str">
        <f>VLOOKUP(B13, Sheet3!$A$2:$C$10, 2, FALSE)</f>
        <v>Nen tang CNTT</v>
      </c>
      <c r="E13" s="20">
        <f>VLOOKUP(B13,Sheet3!$A$2:$C$4, 3, FALSE)</f>
        <v>3</v>
      </c>
    </row>
    <row r="14" spans="1:5" ht="15" thickBot="1" x14ac:dyDescent="0.35">
      <c r="A14" s="14" t="s">
        <v>45</v>
      </c>
      <c r="B14" s="12" t="s">
        <v>54</v>
      </c>
      <c r="C14" s="18" t="s">
        <v>58</v>
      </c>
      <c r="D14" s="20" t="str">
        <f>VLOOKUP(B14, Sheet3!$A$2:$C$10, 2, FALSE)</f>
        <v>Quan Tri He Thong</v>
      </c>
      <c r="E14" s="20">
        <f>VLOOKUP(B14,Sheet3!$A$2:$C$4, 3, FALSE)</f>
        <v>3</v>
      </c>
    </row>
    <row r="15" spans="1:5" ht="15" thickBot="1" x14ac:dyDescent="0.35">
      <c r="A15" s="14" t="s">
        <v>49</v>
      </c>
      <c r="B15" s="12" t="s">
        <v>56</v>
      </c>
      <c r="C15" s="18" t="s">
        <v>59</v>
      </c>
      <c r="D15" s="20" t="str">
        <f>VLOOKUP(B15, Sheet3!$A$2:$C$10, 2, FALSE)</f>
        <v>He Dieu Hanh</v>
      </c>
      <c r="E15" s="20">
        <f>VLOOKUP(B15,Sheet3!$A$2:$C$4, 3, FALSE)</f>
        <v>3</v>
      </c>
    </row>
    <row r="16" spans="1:5" ht="15" thickBot="1" x14ac:dyDescent="0.35">
      <c r="A16" s="14"/>
      <c r="B16" s="12">
        <f>COUNTIF(Sheet2!B2:B15, "CT447")</f>
        <v>5</v>
      </c>
      <c r="C16" s="13" t="s">
        <v>60</v>
      </c>
    </row>
  </sheetData>
  <autoFilter ref="A1:E1" xr:uid="{527BC61D-349A-4ABF-ADC4-AAE864D1F6A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8238E-20DF-4D80-8DCD-826219411E45}">
  <dimension ref="A1:C16"/>
  <sheetViews>
    <sheetView workbookViewId="0">
      <selection activeCell="F11" sqref="F11"/>
    </sheetView>
  </sheetViews>
  <sheetFormatPr defaultRowHeight="14.4" x14ac:dyDescent="0.3"/>
  <cols>
    <col min="2" max="2" width="15.33203125" customWidth="1"/>
  </cols>
  <sheetData>
    <row r="1" spans="1:3" ht="15" thickBot="1" x14ac:dyDescent="0.35">
      <c r="A1" s="10" t="s">
        <v>52</v>
      </c>
      <c r="B1" s="11" t="s">
        <v>61</v>
      </c>
      <c r="C1" s="11" t="s">
        <v>62</v>
      </c>
    </row>
    <row r="2" spans="1:3" ht="28.2" thickBot="1" x14ac:dyDescent="0.35">
      <c r="A2" s="16" t="s">
        <v>54</v>
      </c>
      <c r="B2" s="13" t="s">
        <v>63</v>
      </c>
      <c r="C2" s="13">
        <v>3</v>
      </c>
    </row>
    <row r="3" spans="1:3" ht="15" thickBot="1" x14ac:dyDescent="0.35">
      <c r="A3" s="16" t="s">
        <v>56</v>
      </c>
      <c r="B3" s="13" t="s">
        <v>64</v>
      </c>
      <c r="C3" s="13">
        <v>3</v>
      </c>
    </row>
    <row r="4" spans="1:3" ht="15" thickBot="1" x14ac:dyDescent="0.35">
      <c r="A4" s="16" t="s">
        <v>57</v>
      </c>
      <c r="B4" s="13" t="s">
        <v>65</v>
      </c>
      <c r="C4" s="13">
        <v>3</v>
      </c>
    </row>
    <row r="5" spans="1:3" ht="15" thickBot="1" x14ac:dyDescent="0.35">
      <c r="A5" s="16"/>
      <c r="B5" s="13"/>
      <c r="C5" s="13"/>
    </row>
    <row r="6" spans="1:3" ht="15" thickBot="1" x14ac:dyDescent="0.35">
      <c r="A6" s="16"/>
      <c r="B6" s="13"/>
      <c r="C6" s="13"/>
    </row>
    <row r="7" spans="1:3" ht="15" thickBot="1" x14ac:dyDescent="0.35">
      <c r="A7" s="16"/>
      <c r="B7" s="13"/>
      <c r="C7" s="13"/>
    </row>
    <row r="8" spans="1:3" ht="15" thickBot="1" x14ac:dyDescent="0.35">
      <c r="A8" s="16"/>
      <c r="B8" s="13"/>
      <c r="C8" s="13"/>
    </row>
    <row r="9" spans="1:3" ht="15" thickBot="1" x14ac:dyDescent="0.35">
      <c r="A9" s="16"/>
      <c r="B9" s="13"/>
      <c r="C9" s="13"/>
    </row>
    <row r="10" spans="1:3" ht="15" thickBot="1" x14ac:dyDescent="0.35">
      <c r="A10" s="16"/>
      <c r="B10" s="13"/>
      <c r="C10" s="13"/>
    </row>
    <row r="11" spans="1:3" ht="15" thickBot="1" x14ac:dyDescent="0.35">
      <c r="A11" s="16"/>
      <c r="B11" s="13"/>
      <c r="C11" s="13"/>
    </row>
    <row r="12" spans="1:3" ht="15" thickBot="1" x14ac:dyDescent="0.35">
      <c r="A12" s="16"/>
      <c r="B12" s="13"/>
      <c r="C12" s="13"/>
    </row>
    <row r="13" spans="1:3" ht="15" thickBot="1" x14ac:dyDescent="0.35">
      <c r="A13" s="16"/>
      <c r="B13" s="13"/>
      <c r="C13" s="13"/>
    </row>
    <row r="14" spans="1:3" ht="15" thickBot="1" x14ac:dyDescent="0.35">
      <c r="A14" s="16"/>
      <c r="B14" s="13"/>
      <c r="C14" s="13"/>
    </row>
    <row r="15" spans="1:3" ht="15" thickBot="1" x14ac:dyDescent="0.35">
      <c r="A15" s="16"/>
      <c r="B15" s="13"/>
      <c r="C15" s="13"/>
    </row>
    <row r="16" spans="1:3" ht="15" thickBot="1" x14ac:dyDescent="0.35">
      <c r="A16" s="16"/>
      <c r="B16" s="13"/>
      <c r="C16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tothithanhhuyen0907@gmail.com</dc:creator>
  <cp:lastModifiedBy>tothithanhhuyen0907@gmail.com</cp:lastModifiedBy>
  <dcterms:created xsi:type="dcterms:W3CDTF">2026-09-29T18:21:18Z</dcterms:created>
  <dcterms:modified xsi:type="dcterms:W3CDTF">2026-09-29T18:44:41Z</dcterms:modified>
</cp:coreProperties>
</file>